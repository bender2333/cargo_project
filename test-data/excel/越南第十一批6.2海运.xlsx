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<sst xmlns="http://schemas.openxmlformats.org/spreadsheetml/2006/main" count="88" uniqueCount="72">
  <si>
    <t>越南第十一批海运    预计6.2提货</t>
  </si>
  <si>
    <t>物料代码SKU</t>
  </si>
  <si>
    <t>物料名称</t>
  </si>
  <si>
    <t>预计发货数量</t>
  </si>
  <si>
    <t>箱数</t>
  </si>
  <si>
    <t>产品净重（KG)/个</t>
  </si>
  <si>
    <t>产品毛重(KG)/箱</t>
  </si>
  <si>
    <t>产品总净重（KG)</t>
  </si>
  <si>
    <t>产品总毛重(KG)</t>
  </si>
  <si>
    <t>外箱尺寸（mm）</t>
  </si>
  <si>
    <t>箱规</t>
  </si>
  <si>
    <t>TB-C10-EV_v1.1</t>
  </si>
  <si>
    <t>世喜PPSU款新生儿奶瓶-防胀气系列160mL越南版（0-1）</t>
  </si>
  <si>
    <t>530*305*310</t>
  </si>
  <si>
    <t>TB-C11-EV_v1.1</t>
  </si>
  <si>
    <t>世喜PPSU款新生儿奶瓶-防胀气系列160mL越南版（1-2）</t>
  </si>
  <si>
    <t>TB-C12-EV_v1.1</t>
  </si>
  <si>
    <t>世喜PPSU款新生儿奶瓶-防胀气系列160mL越南版（2-3）</t>
  </si>
  <si>
    <t>TB-C13-EV_v1.1</t>
  </si>
  <si>
    <t>世喜PPSU款新生儿奶瓶-防胀气系列240mL越南版（3-6）</t>
  </si>
  <si>
    <t>530*305*360</t>
  </si>
  <si>
    <t>TN-D01-EV_v1.1</t>
  </si>
  <si>
    <t>世喜新生儿奶嘴-防胀气系列越南版（0-1）</t>
  </si>
  <si>
    <t>580*365*435</t>
  </si>
  <si>
    <t>TN-D02-EV_v1.1</t>
  </si>
  <si>
    <t>世喜新生儿奶嘴-防胀气系列越南版（1-2）</t>
  </si>
  <si>
    <t>TN-D03-EV_v1.1</t>
  </si>
  <si>
    <t>世喜新生儿奶嘴-防胀气系列越南版（2-3）</t>
  </si>
  <si>
    <t>TN-D04-EV_v1.1</t>
  </si>
  <si>
    <t>世喜新生儿奶嘴-防胀气系列越南版（3-6）</t>
  </si>
  <si>
    <t>TN-D05-EV_v1.1</t>
  </si>
  <si>
    <t>世喜新生儿奶嘴-防胀气系列越南版（6-9）</t>
  </si>
  <si>
    <t>TN-D06-EV_v1.1</t>
  </si>
  <si>
    <t>世喜新生儿奶嘴-防胀气系列越南版（9+）</t>
  </si>
  <si>
    <t>TP-B10-EV_v1.0</t>
  </si>
  <si>
    <t>世喜新生儿奶瓶气阀套件越南版</t>
  </si>
  <si>
    <t>350*260*210</t>
  </si>
  <si>
    <t>实物只有v1.0版本</t>
  </si>
  <si>
    <t>TP-B09-EV_v1.0</t>
  </si>
  <si>
    <t>世喜手柄套件越南版</t>
  </si>
  <si>
    <t>515*420*510</t>
  </si>
  <si>
    <t>TA-C01-EV_v1.0</t>
  </si>
  <si>
    <t>世喜小月龄学饮杯越南版</t>
  </si>
  <si>
    <t>600*400*385</t>
  </si>
  <si>
    <t>TN-C01-EV_v1.0</t>
  </si>
  <si>
    <t>世喜小月龄学饮杯嘴越南版</t>
  </si>
  <si>
    <t>TF-A01-EV_v1.0</t>
  </si>
  <si>
    <t>世喜双层乳盾越南版</t>
  </si>
  <si>
    <t>TC-A02-EV_v1.0</t>
  </si>
  <si>
    <t>世喜新生儿软软勺两只装越南版</t>
  </si>
  <si>
    <t>550*360*250</t>
  </si>
  <si>
    <t>TB-D03-EV_v1.0</t>
  </si>
  <si>
    <t>世喜断奶大奶瓶越南版（7-10）</t>
  </si>
  <si>
    <t>TB-D04-EV_v1.0</t>
  </si>
  <si>
    <t>世喜断奶大奶瓶越南版（10+）</t>
  </si>
  <si>
    <t>TN-B03-EV_v1.0</t>
  </si>
  <si>
    <t>世喜断奶奶嘴-L越南版（7-10）</t>
  </si>
  <si>
    <t>TN-B04-EV_v1.0</t>
  </si>
  <si>
    <t>世喜断奶奶嘴-2L越南版（10+）</t>
  </si>
  <si>
    <t>TB-C09-EV_v1.0</t>
  </si>
  <si>
    <t>世喜玻璃款新生儿奶瓶-防胀气系列240mL 越南版（无奶嘴）</t>
  </si>
  <si>
    <t>475*475*380</t>
  </si>
  <si>
    <t>TD-J03-EV_v1.0</t>
  </si>
  <si>
    <t>世喜咬咬乐组合装越南版-L+S款</t>
  </si>
  <si>
    <t>475*475*320</t>
  </si>
  <si>
    <t>TD-A01-EV_v1.0</t>
  </si>
  <si>
    <t>世喜白+黑安抚奶嘴新生儿款越南版</t>
  </si>
  <si>
    <t>400*400*380</t>
  </si>
  <si>
    <t>实际数量只有15箱
1800</t>
  </si>
  <si>
    <t>TD-F01-EV_v1.0</t>
  </si>
  <si>
    <t>世喜小蘑菇安抚牙胶越南版（世喜棕）</t>
  </si>
  <si>
    <t>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</si>
</sst>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_ "/>
  </numFmts>
  <fonts count="25">
    <font>
      <sz val="11"/>
      <color theme="1"/>
      <name val="宋体"/>
      <charset val="134"/>
      <scheme val="minor"/>
    </font>
    <font>
      <sz val="72"/>
      <color theme="1"/>
      <name val="宋体"/>
      <charset val="134"/>
      <scheme val="minor"/>
    </font>
    <font>
      <b/>
      <sz val="72"/>
      <color theme="1"/>
      <name val="微软雅黑"/>
      <charset val="134"/>
    </font>
    <font>
      <sz val="14"/>
      <color rgb="FF000000"/>
      <name val="微软雅黑"/>
      <charset val="134"/>
    </font>
    <font>
      <sz val="14"/>
      <color theme="1"/>
      <name val="微软雅黑"/>
      <charset val="134"/>
    </font>
    <font>
      <sz val="14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7"/>
  <sheetViews>
    <sheetView tabSelected="1" zoomScale="90" zoomScaleNormal="90" topLeftCell="A6" workbookViewId="0">
      <selection activeCell="G31" sqref="G31"/>
    </sheetView>
  </sheetViews>
  <sheetFormatPr defaultColWidth="9" defaultRowHeight="13.5"/>
  <cols>
    <col min="1" max="1" width="20.5" style="2" customWidth="1"/>
    <col min="2" max="2" width="79.25" style="2" customWidth="1"/>
    <col min="3" max="3" width="10.875" style="2" customWidth="1"/>
    <col min="4" max="4" width="7.75" style="2" customWidth="1"/>
    <col min="5" max="5" width="14.8583333333333" style="2" customWidth="1"/>
    <col min="6" max="6" width="14.7166666666667" style="2" customWidth="1"/>
    <col min="7" max="7" width="15" style="2" customWidth="1"/>
    <col min="8" max="8" width="16.6666666666667" style="2" customWidth="1"/>
    <col min="9" max="9" width="25.8333333333333" style="2" customWidth="1"/>
    <col min="10" max="10" width="7.625" style="2" customWidth="1"/>
    <col min="11" max="11" width="22.9416666666667" style="2" customWidth="1"/>
    <col min="12" max="16383" width="9" style="2"/>
  </cols>
  <sheetData>
    <row r="1" s="1" customFormat="1" ht="95" customHeight="1" spans="1:1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40.5" spans="1:11">
      <c r="A2" s="4" t="s">
        <v>1</v>
      </c>
      <c r="B2" s="4" t="s">
        <v>2</v>
      </c>
      <c r="C2" s="5" t="s">
        <v>3</v>
      </c>
      <c r="D2" s="4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 t="s">
        <v>9</v>
      </c>
      <c r="J2" s="5" t="s">
        <v>10</v>
      </c>
    </row>
    <row r="3" ht="45" customHeight="1" spans="1:11">
      <c r="A3" s="8" t="s">
        <v>11</v>
      </c>
      <c r="B3" s="9" t="s">
        <v>12</v>
      </c>
      <c r="C3" s="9">
        <v>7056</v>
      </c>
      <c r="D3" s="9">
        <v>126</v>
      </c>
      <c r="E3" s="10">
        <v>0.13</v>
      </c>
      <c r="F3" s="10">
        <v>8.27</v>
      </c>
      <c r="G3" s="10">
        <f>C3*E3</f>
        <v>917.28</v>
      </c>
      <c r="H3" s="10">
        <f>D3*F3</f>
        <v>1042.02</v>
      </c>
      <c r="I3" s="10" t="s">
        <v>13</v>
      </c>
      <c r="J3" s="9">
        <v>56</v>
      </c>
    </row>
    <row r="4" ht="45" customHeight="1" spans="1:11">
      <c r="A4" s="8" t="s">
        <v>14</v>
      </c>
      <c r="B4" s="9" t="s">
        <v>15</v>
      </c>
      <c r="C4" s="9">
        <v>1400</v>
      </c>
      <c r="D4" s="9">
        <v>25</v>
      </c>
      <c r="E4" s="11">
        <v>0.134</v>
      </c>
      <c r="F4" s="10">
        <v>8.25</v>
      </c>
      <c r="G4" s="10">
        <f t="shared" ref="G4:G27" si="0">C4*E4</f>
        <v>187.6</v>
      </c>
      <c r="H4" s="10">
        <f t="shared" ref="H4:H27" si="1">D4*F4</f>
        <v>206.25</v>
      </c>
      <c r="I4" s="10" t="s">
        <v>13</v>
      </c>
      <c r="J4" s="9">
        <v>56</v>
      </c>
    </row>
    <row r="5" ht="45" customHeight="1" spans="1:11">
      <c r="A5" s="8" t="s">
        <v>16</v>
      </c>
      <c r="B5" s="9" t="s">
        <v>17</v>
      </c>
      <c r="C5" s="9">
        <v>1400</v>
      </c>
      <c r="D5" s="9">
        <v>25</v>
      </c>
      <c r="E5" s="10">
        <v>0.14</v>
      </c>
      <c r="F5" s="10">
        <v>8.27</v>
      </c>
      <c r="G5" s="10">
        <f t="shared" si="0"/>
        <v>196</v>
      </c>
      <c r="H5" s="10">
        <f t="shared" si="1"/>
        <v>206.75</v>
      </c>
      <c r="I5" s="10" t="s">
        <v>13</v>
      </c>
      <c r="J5" s="9">
        <v>56</v>
      </c>
    </row>
    <row r="6" ht="45" customHeight="1" spans="1:11">
      <c r="A6" s="8" t="s">
        <v>18</v>
      </c>
      <c r="B6" s="9" t="s">
        <v>19</v>
      </c>
      <c r="C6" s="9">
        <v>7336</v>
      </c>
      <c r="D6" s="9">
        <v>131</v>
      </c>
      <c r="E6" s="10">
        <v>0.15</v>
      </c>
      <c r="F6" s="10">
        <v>8.95</v>
      </c>
      <c r="G6" s="10">
        <f t="shared" si="0"/>
        <v>1100.4</v>
      </c>
      <c r="H6" s="10">
        <f t="shared" si="1"/>
        <v>1172.45</v>
      </c>
      <c r="I6" s="10" t="s">
        <v>20</v>
      </c>
      <c r="J6" s="9">
        <v>56</v>
      </c>
    </row>
    <row r="7" ht="45" customHeight="1" spans="1:11">
      <c r="A7" s="8" t="s">
        <v>21</v>
      </c>
      <c r="B7" s="9" t="s">
        <v>22</v>
      </c>
      <c r="C7" s="9">
        <v>720</v>
      </c>
      <c r="D7" s="9">
        <v>5</v>
      </c>
      <c r="E7" s="10">
        <v>0.05</v>
      </c>
      <c r="F7" s="10">
        <v>8.87</v>
      </c>
      <c r="G7" s="10">
        <f t="shared" si="0"/>
        <v>36</v>
      </c>
      <c r="H7" s="10">
        <f t="shared" si="1"/>
        <v>44.35</v>
      </c>
      <c r="I7" s="10" t="s">
        <v>23</v>
      </c>
      <c r="J7" s="9">
        <v>144</v>
      </c>
    </row>
    <row r="8" ht="45" customHeight="1" spans="1:11">
      <c r="A8" s="8" t="s">
        <v>24</v>
      </c>
      <c r="B8" s="9" t="s">
        <v>25</v>
      </c>
      <c r="C8" s="9">
        <f>144*13</f>
        <v>1872</v>
      </c>
      <c r="D8" s="9">
        <v>13</v>
      </c>
      <c r="E8" s="10">
        <v>0.05</v>
      </c>
      <c r="F8" s="10">
        <v>8.88</v>
      </c>
      <c r="G8" s="10">
        <f t="shared" si="0"/>
        <v>93.6</v>
      </c>
      <c r="H8" s="10">
        <f t="shared" si="1"/>
        <v>115.44</v>
      </c>
      <c r="I8" s="10" t="s">
        <v>23</v>
      </c>
      <c r="J8" s="9">
        <v>144</v>
      </c>
    </row>
    <row r="9" ht="45" customHeight="1" spans="1:11">
      <c r="A9" s="8" t="s">
        <v>26</v>
      </c>
      <c r="B9" s="9" t="s">
        <v>27</v>
      </c>
      <c r="C9" s="9">
        <v>3600</v>
      </c>
      <c r="D9" s="9">
        <v>25</v>
      </c>
      <c r="E9" s="10">
        <v>0.05</v>
      </c>
      <c r="F9" s="11">
        <v>8.9</v>
      </c>
      <c r="G9" s="10">
        <f t="shared" si="0"/>
        <v>180</v>
      </c>
      <c r="H9" s="10">
        <f t="shared" si="1"/>
        <v>222.5</v>
      </c>
      <c r="I9" s="10" t="s">
        <v>23</v>
      </c>
      <c r="J9" s="9">
        <v>144</v>
      </c>
    </row>
    <row r="10" ht="45" customHeight="1" spans="1:11">
      <c r="A10" s="8" t="s">
        <v>28</v>
      </c>
      <c r="B10" s="9" t="s">
        <v>29</v>
      </c>
      <c r="C10" s="12">
        <v>8640</v>
      </c>
      <c r="D10" s="9">
        <v>60</v>
      </c>
      <c r="E10" s="10">
        <v>0.05</v>
      </c>
      <c r="F10" s="10">
        <v>8.84</v>
      </c>
      <c r="G10" s="10">
        <f t="shared" si="0"/>
        <v>432</v>
      </c>
      <c r="H10" s="10">
        <f t="shared" si="1"/>
        <v>530.4</v>
      </c>
      <c r="I10" s="10" t="s">
        <v>23</v>
      </c>
      <c r="J10" s="9">
        <v>144</v>
      </c>
    </row>
    <row r="11" ht="45" customHeight="1" spans="1:11">
      <c r="A11" s="8" t="s">
        <v>30</v>
      </c>
      <c r="B11" s="9" t="s">
        <v>31</v>
      </c>
      <c r="C11" s="12">
        <v>7920</v>
      </c>
      <c r="D11" s="9">
        <v>55</v>
      </c>
      <c r="E11" s="10">
        <v>0.05</v>
      </c>
      <c r="F11" s="10">
        <v>8.79</v>
      </c>
      <c r="G11" s="10">
        <f t="shared" si="0"/>
        <v>396</v>
      </c>
      <c r="H11" s="10">
        <f t="shared" si="1"/>
        <v>483.45</v>
      </c>
      <c r="I11" s="10" t="s">
        <v>23</v>
      </c>
      <c r="J11" s="9">
        <v>144</v>
      </c>
    </row>
    <row r="12" ht="45" customHeight="1" spans="1:11">
      <c r="A12" s="8" t="s">
        <v>32</v>
      </c>
      <c r="B12" s="9" t="s">
        <v>33</v>
      </c>
      <c r="C12" s="12">
        <v>5904</v>
      </c>
      <c r="D12" s="9">
        <v>41</v>
      </c>
      <c r="E12" s="10">
        <v>0.05</v>
      </c>
      <c r="F12" s="11">
        <v>8.8</v>
      </c>
      <c r="G12" s="10">
        <f t="shared" si="0"/>
        <v>295.2</v>
      </c>
      <c r="H12" s="10">
        <f t="shared" si="1"/>
        <v>360.8</v>
      </c>
      <c r="I12" s="10" t="s">
        <v>23</v>
      </c>
      <c r="J12" s="9">
        <v>144</v>
      </c>
    </row>
    <row r="13" ht="45" customHeight="1" spans="1:11">
      <c r="A13" s="13" t="s">
        <v>34</v>
      </c>
      <c r="B13" s="14" t="s">
        <v>35</v>
      </c>
      <c r="C13" s="15">
        <v>1200</v>
      </c>
      <c r="D13" s="14">
        <v>12</v>
      </c>
      <c r="E13" s="16">
        <v>0.024</v>
      </c>
      <c r="F13" s="16">
        <v>2.4</v>
      </c>
      <c r="G13" s="17">
        <f t="shared" si="0"/>
        <v>28.8</v>
      </c>
      <c r="H13" s="17">
        <f t="shared" si="1"/>
        <v>28.8</v>
      </c>
      <c r="I13" s="17" t="s">
        <v>36</v>
      </c>
      <c r="J13" s="14">
        <v>100</v>
      </c>
      <c r="K13" s="18" t="s">
        <v>37</v>
      </c>
    </row>
    <row r="14" ht="45" customHeight="1" spans="1:11">
      <c r="A14" s="13" t="s">
        <v>38</v>
      </c>
      <c r="B14" s="14" t="s">
        <v>39</v>
      </c>
      <c r="C14" s="15">
        <v>150</v>
      </c>
      <c r="D14" s="14">
        <v>2</v>
      </c>
      <c r="E14" s="16">
        <v>0.067</v>
      </c>
      <c r="F14" s="17">
        <v>6.63</v>
      </c>
      <c r="G14" s="17">
        <f t="shared" si="0"/>
        <v>10.05</v>
      </c>
      <c r="H14" s="17">
        <f t="shared" si="1"/>
        <v>13.26</v>
      </c>
      <c r="I14" s="17" t="s">
        <v>40</v>
      </c>
      <c r="J14" s="14">
        <v>75</v>
      </c>
      <c r="K14" s="18" t="s">
        <v>37</v>
      </c>
    </row>
    <row r="15" ht="45" customHeight="1" spans="1:11">
      <c r="A15" s="8" t="s">
        <v>41</v>
      </c>
      <c r="B15" s="9" t="s">
        <v>42</v>
      </c>
      <c r="C15" s="12">
        <v>1260</v>
      </c>
      <c r="D15" s="9">
        <v>30</v>
      </c>
      <c r="E15" s="11">
        <v>0.2</v>
      </c>
      <c r="F15" s="10">
        <v>9.74</v>
      </c>
      <c r="G15" s="10">
        <f t="shared" si="0"/>
        <v>252</v>
      </c>
      <c r="H15" s="10">
        <f t="shared" si="1"/>
        <v>292.2</v>
      </c>
      <c r="I15" s="10" t="s">
        <v>43</v>
      </c>
      <c r="J15" s="9">
        <v>42</v>
      </c>
      <c r="K15" s="18"/>
    </row>
    <row r="16" ht="45" customHeight="1" spans="1:11">
      <c r="A16" s="8" t="s">
        <v>44</v>
      </c>
      <c r="B16" s="9" t="s">
        <v>45</v>
      </c>
      <c r="C16" s="12">
        <v>1125</v>
      </c>
      <c r="D16" s="9">
        <v>15</v>
      </c>
      <c r="E16" s="10">
        <v>0.05</v>
      </c>
      <c r="F16" s="10">
        <v>5.54</v>
      </c>
      <c r="G16" s="10">
        <f t="shared" si="0"/>
        <v>56.25</v>
      </c>
      <c r="H16" s="10">
        <f t="shared" si="1"/>
        <v>83.1</v>
      </c>
      <c r="I16" s="10" t="s">
        <v>23</v>
      </c>
      <c r="J16" s="9">
        <v>75</v>
      </c>
      <c r="K16" s="18"/>
    </row>
    <row r="17" ht="45" customHeight="1" spans="1:11">
      <c r="A17" s="13" t="s">
        <v>46</v>
      </c>
      <c r="B17" s="14" t="s">
        <v>47</v>
      </c>
      <c r="C17" s="15">
        <f>68*144</f>
        <v>9792</v>
      </c>
      <c r="D17" s="14">
        <v>68</v>
      </c>
      <c r="E17" s="16">
        <v>0.068</v>
      </c>
      <c r="F17" s="17">
        <v>11.1</v>
      </c>
      <c r="G17" s="17">
        <f t="shared" si="0"/>
        <v>665.856</v>
      </c>
      <c r="H17" s="17">
        <f t="shared" si="1"/>
        <v>754.8</v>
      </c>
      <c r="I17" s="17" t="s">
        <v>43</v>
      </c>
      <c r="J17" s="14">
        <v>144</v>
      </c>
      <c r="K17" s="18" t="s">
        <v>37</v>
      </c>
    </row>
    <row r="18" ht="45" customHeight="1" spans="1:11">
      <c r="A18" s="8" t="s">
        <v>48</v>
      </c>
      <c r="B18" s="9" t="s">
        <v>49</v>
      </c>
      <c r="C18" s="12">
        <f>66*160</f>
        <v>10560</v>
      </c>
      <c r="D18" s="9">
        <v>66</v>
      </c>
      <c r="E18" s="11">
        <v>0.087</v>
      </c>
      <c r="F18" s="10">
        <v>14.74</v>
      </c>
      <c r="G18" s="10">
        <f t="shared" si="0"/>
        <v>918.72</v>
      </c>
      <c r="H18" s="10">
        <f t="shared" si="1"/>
        <v>972.84</v>
      </c>
      <c r="I18" s="10" t="s">
        <v>50</v>
      </c>
      <c r="J18" s="9">
        <v>160</v>
      </c>
    </row>
    <row r="19" ht="45" customHeight="1" spans="1:11">
      <c r="A19" s="8" t="s">
        <v>51</v>
      </c>
      <c r="B19" s="9" t="s">
        <v>52</v>
      </c>
      <c r="C19" s="12">
        <v>1260</v>
      </c>
      <c r="D19" s="9">
        <v>30</v>
      </c>
      <c r="E19" s="10">
        <v>0.21</v>
      </c>
      <c r="F19" s="10">
        <v>9.89</v>
      </c>
      <c r="G19" s="10">
        <f t="shared" si="0"/>
        <v>264.6</v>
      </c>
      <c r="H19" s="10">
        <f t="shared" si="1"/>
        <v>296.7</v>
      </c>
      <c r="I19" s="10" t="s">
        <v>43</v>
      </c>
      <c r="J19" s="9">
        <v>42</v>
      </c>
    </row>
    <row r="20" ht="45" customHeight="1" spans="1:11">
      <c r="A20" s="8" t="s">
        <v>53</v>
      </c>
      <c r="B20" s="9" t="s">
        <v>54</v>
      </c>
      <c r="C20" s="12">
        <v>1260</v>
      </c>
      <c r="D20" s="9">
        <v>30</v>
      </c>
      <c r="E20" s="11">
        <v>0.2</v>
      </c>
      <c r="F20" s="10">
        <v>9.91</v>
      </c>
      <c r="G20" s="10">
        <f t="shared" si="0"/>
        <v>252</v>
      </c>
      <c r="H20" s="10">
        <f t="shared" si="1"/>
        <v>297.3</v>
      </c>
      <c r="I20" s="10" t="s">
        <v>43</v>
      </c>
      <c r="J20" s="9">
        <v>42</v>
      </c>
    </row>
    <row r="21" ht="45" customHeight="1" spans="1:11">
      <c r="A21" s="8" t="s">
        <v>55</v>
      </c>
      <c r="B21" s="9" t="s">
        <v>56</v>
      </c>
      <c r="C21" s="12">
        <f>7*140</f>
        <v>980</v>
      </c>
      <c r="D21" s="9">
        <v>7</v>
      </c>
      <c r="E21" s="10">
        <v>0.06</v>
      </c>
      <c r="F21" s="10">
        <v>9.56</v>
      </c>
      <c r="G21" s="10">
        <f t="shared" si="0"/>
        <v>58.8</v>
      </c>
      <c r="H21" s="10">
        <f t="shared" si="1"/>
        <v>66.92</v>
      </c>
      <c r="I21" s="10" t="s">
        <v>23</v>
      </c>
      <c r="J21" s="9">
        <v>140</v>
      </c>
    </row>
    <row r="22" ht="45" customHeight="1" spans="1:11">
      <c r="A22" s="8" t="s">
        <v>57</v>
      </c>
      <c r="B22" s="9" t="s">
        <v>58</v>
      </c>
      <c r="C22" s="12">
        <v>840</v>
      </c>
      <c r="D22" s="9">
        <v>6</v>
      </c>
      <c r="E22" s="10">
        <v>0.06</v>
      </c>
      <c r="F22" s="11">
        <v>9.5</v>
      </c>
      <c r="G22" s="10">
        <f t="shared" si="0"/>
        <v>50.4</v>
      </c>
      <c r="H22" s="10">
        <f t="shared" si="1"/>
        <v>57</v>
      </c>
      <c r="I22" s="10" t="s">
        <v>23</v>
      </c>
      <c r="J22" s="9">
        <v>140</v>
      </c>
    </row>
    <row r="23" ht="45" customHeight="1" spans="1:11">
      <c r="A23" s="8" t="s">
        <v>59</v>
      </c>
      <c r="B23" s="9" t="s">
        <v>60</v>
      </c>
      <c r="C23" s="12">
        <v>2160</v>
      </c>
      <c r="D23" s="9">
        <v>30</v>
      </c>
      <c r="E23" s="10">
        <v>0.23</v>
      </c>
      <c r="F23" s="10">
        <v>17.56</v>
      </c>
      <c r="G23" s="10">
        <f t="shared" si="0"/>
        <v>496.8</v>
      </c>
      <c r="H23" s="10">
        <f t="shared" si="1"/>
        <v>526.8</v>
      </c>
      <c r="I23" s="10" t="s">
        <v>61</v>
      </c>
      <c r="J23" s="9">
        <v>72</v>
      </c>
    </row>
    <row r="24" ht="45" customHeight="1" spans="1:11">
      <c r="A24" s="8" t="s">
        <v>62</v>
      </c>
      <c r="B24" s="9" t="s">
        <v>63</v>
      </c>
      <c r="C24" s="12">
        <f>22*120</f>
        <v>2640</v>
      </c>
      <c r="D24" s="9">
        <v>22</v>
      </c>
      <c r="E24" s="10">
        <v>0.08</v>
      </c>
      <c r="F24" s="10">
        <v>10.51</v>
      </c>
      <c r="G24" s="10">
        <f t="shared" si="0"/>
        <v>211.2</v>
      </c>
      <c r="H24" s="10">
        <f t="shared" si="1"/>
        <v>231.22</v>
      </c>
      <c r="I24" s="10" t="s">
        <v>64</v>
      </c>
      <c r="J24" s="9">
        <v>120</v>
      </c>
    </row>
    <row r="25" ht="45" customHeight="1" spans="1:11">
      <c r="A25" s="8" t="s">
        <v>65</v>
      </c>
      <c r="B25" s="9" t="s">
        <v>66</v>
      </c>
      <c r="C25" s="15">
        <f>15*120</f>
        <v>1800</v>
      </c>
      <c r="D25" s="14">
        <v>15</v>
      </c>
      <c r="E25" s="11">
        <v>0.095</v>
      </c>
      <c r="F25" s="10">
        <v>12.01</v>
      </c>
      <c r="G25" s="10">
        <f t="shared" si="0"/>
        <v>171</v>
      </c>
      <c r="H25" s="10">
        <f t="shared" si="1"/>
        <v>180.15</v>
      </c>
      <c r="I25" s="10" t="s">
        <v>67</v>
      </c>
      <c r="J25" s="9">
        <v>120</v>
      </c>
      <c r="K25" s="19" t="s">
        <v>68</v>
      </c>
    </row>
    <row r="26" ht="45" customHeight="1" spans="1:11">
      <c r="A26" s="8" t="s">
        <v>69</v>
      </c>
      <c r="B26" s="9" t="s">
        <v>70</v>
      </c>
      <c r="C26" s="12">
        <f>25*184</f>
        <v>4600</v>
      </c>
      <c r="D26" s="9">
        <v>25</v>
      </c>
      <c r="E26" s="10">
        <v>0.04</v>
      </c>
      <c r="F26" s="11">
        <v>9.3</v>
      </c>
      <c r="G26" s="10">
        <f t="shared" si="0"/>
        <v>184</v>
      </c>
      <c r="H26" s="10">
        <f t="shared" si="1"/>
        <v>232.5</v>
      </c>
      <c r="I26" s="10" t="s">
        <v>23</v>
      </c>
      <c r="J26" s="9">
        <v>184</v>
      </c>
    </row>
    <row r="27" ht="45" customHeight="1" spans="1:11">
      <c r="A27" s="10" t="s">
        <v>71</v>
      </c>
      <c r="B27" s="10"/>
      <c r="C27" s="10">
        <v>85475</v>
      </c>
      <c r="D27" s="10">
        <v>864</v>
      </c>
      <c r="E27" s="10"/>
      <c r="F27" s="10"/>
      <c r="G27" s="11">
        <v>7454.556</v>
      </c>
      <c r="H27" s="10">
        <v>8418</v>
      </c>
      <c r="I27" s="10"/>
      <c r="J27" s="10"/>
    </row>
  </sheetData>
  <mergeCells count="1">
    <mergeCell ref="A1:J1"/>
  </mergeCells>
  <pageMargins left="0.75" right="0.75" top="1" bottom="1" header="0.5" footer="0.5"/>
  <pageSetup paperSize="439" scale="56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20528</dc:creator>
  <cp:lastModifiedBy> 给 脸 别 傲</cp:lastModifiedBy>
  <dcterms:created xsi:type="dcterms:W3CDTF">2026-05-23T04:10:00Z</dcterms:created>
  <dcterms:modified xsi:type="dcterms:W3CDTF">2026-06-03T00:52:44Z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5CED4E3679184F65BC33F64377735759_11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